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  <sheet name="Resumen" sheetId="2" state="visible" r:id="rId2"/>
    <sheet name="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 #,##0.0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sz val="11"/>
    </font>
    <font>
      <name val="Calibri"/>
      <b val="1"/>
      <sz val="14"/>
    </font>
    <font>
      <name val="Calibri"/>
      <b val="1"/>
      <color rgb="001E293B"/>
      <sz val="13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1" pivotButton="0" quotePrefix="0" xfId="0"/>
    <xf numFmtId="166" fontId="2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5" customWidth="1" min="4" max="4"/>
    <col width="13" customWidth="1" min="5" max="5"/>
    <col width="30" customWidth="1" min="6" max="6"/>
    <col width="24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Categoría</t>
        </is>
      </c>
      <c r="D1" s="1" t="inlineStr">
        <is>
          <t>Monto ($)</t>
        </is>
      </c>
      <c r="E1" s="1" t="inlineStr">
        <is>
          <t>Descripción / Comercio</t>
        </is>
      </c>
      <c r="F1" s="1" t="inlineStr">
        <is>
          <t>Origen</t>
        </is>
      </c>
      <c r="G1" s="1" t="inlineStr">
        <is>
          <t>ID Ref</t>
        </is>
      </c>
    </row>
  </sheetData>
  <dataValidations count="2">
    <dataValidation sqref="D2:D1000" showDropDown="0" showInputMessage="0" showErrorMessage="0" allowBlank="1" type="list">
      <formula1>=Categorías!$A$2:$A$11</formula1>
    </dataValidation>
    <dataValidation sqref="C2:C1000" showDropDown="0" showInputMessage="0" showErrorMessage="0" allowBlank="1" type="list">
      <formula1>"Ingreso,Egreso"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9" customWidth="1" min="2" max="2"/>
    <col width="53" customWidth="1" min="3" max="3"/>
    <col width="28" customWidth="1" min="4" max="4"/>
    <col width="58" customWidth="1" min="5" max="5"/>
    <col width="12" customWidth="1" min="6" max="6"/>
    <col width="12" customWidth="1" min="7" max="7"/>
    <col width="16" customWidth="1" min="8" max="8"/>
  </cols>
  <sheetData>
    <row r="1">
      <c r="A1" s="8" t="inlineStr">
        <is>
          <t>RESUMEN DE FINANZAS PERSONALES</t>
        </is>
      </c>
    </row>
    <row r="2">
      <c r="A2" s="9" t="inlineStr">
        <is>
          <t>Control de ingresos y egresos registrados por el Bot de Telegram</t>
        </is>
      </c>
    </row>
    <row r="4">
      <c r="B4" s="10" t="inlineStr">
        <is>
          <t>Total Ingresos</t>
        </is>
      </c>
      <c r="E4" s="10" t="inlineStr">
        <is>
          <t>Total Egresos</t>
        </is>
      </c>
      <c r="H4" s="10" t="inlineStr">
        <is>
          <t>Balance Neto</t>
        </is>
      </c>
    </row>
    <row r="5">
      <c r="B5" s="11">
        <f>SUMIF(Transacciones!C:C, "Ingreso", Transacciones!E:E)</f>
        <v/>
      </c>
      <c r="E5" s="12">
        <f>SUMIF(Transacciones!C:C, "Egreso", Transacciones!E:E)</f>
        <v/>
      </c>
      <c r="H5" s="13">
        <f>C5-F5</f>
        <v/>
      </c>
    </row>
    <row r="8">
      <c r="A8" s="14" t="inlineStr">
        <is>
          <t>Gastos por Categoría</t>
        </is>
      </c>
    </row>
    <row r="9">
      <c r="A9" s="1" t="inlineStr">
        <is>
          <t>Categoría</t>
        </is>
      </c>
      <c r="B9" s="1" t="inlineStr">
        <is>
          <t>Tipo</t>
        </is>
      </c>
      <c r="C9" s="1" t="inlineStr">
        <is>
          <t>Total ($)</t>
        </is>
      </c>
      <c r="D9" s="1" t="inlineStr">
        <is>
          <t>% del Total</t>
        </is>
      </c>
    </row>
    <row r="10">
      <c r="A10" s="15" t="inlineStr">
        <is>
          <t>Supermercado / Comida</t>
        </is>
      </c>
      <c r="B10" s="3" t="inlineStr">
        <is>
          <t>Egreso</t>
        </is>
      </c>
      <c r="C10" s="6">
        <f>SUMIF(Transacciones!D:D, A10, Transacciones!E:E)</f>
        <v/>
      </c>
      <c r="D10" s="16">
        <f>IF($F$5&gt;0, C10/$F$5, 0)</f>
        <v/>
      </c>
    </row>
    <row r="11">
      <c r="A11" s="15" t="inlineStr">
        <is>
          <t>Servicios / Impuestos</t>
        </is>
      </c>
      <c r="B11" s="3" t="inlineStr">
        <is>
          <t>Egreso</t>
        </is>
      </c>
      <c r="C11" s="6">
        <f>SUMIF(Transacciones!D:D, A11, Transacciones!E:E)</f>
        <v/>
      </c>
      <c r="D11" s="16">
        <f>IF($F$5&gt;0, C11/$F$5, 0)</f>
        <v/>
      </c>
    </row>
    <row r="12">
      <c r="A12" s="15" t="inlineStr">
        <is>
          <t>Transporte / Nafta</t>
        </is>
      </c>
      <c r="B12" s="3" t="inlineStr">
        <is>
          <t>Egreso</t>
        </is>
      </c>
      <c r="C12" s="6">
        <f>SUMIF(Transacciones!D:D, A12, Transacciones!E:E)</f>
        <v/>
      </c>
      <c r="D12" s="16">
        <f>IF($F$5&gt;0, C12/$F$5, 0)</f>
        <v/>
      </c>
    </row>
    <row r="13">
      <c r="A13" s="15" t="inlineStr">
        <is>
          <t>Salidas / Entretenimiento</t>
        </is>
      </c>
      <c r="B13" s="3" t="inlineStr">
        <is>
          <t>Egreso</t>
        </is>
      </c>
      <c r="C13" s="6">
        <f>SUMIF(Transacciones!D:D, A13, Transacciones!E:E)</f>
        <v/>
      </c>
      <c r="D13" s="16">
        <f>IF($F$5&gt;0, C13/$F$5, 0)</f>
        <v/>
      </c>
    </row>
    <row r="14">
      <c r="A14" s="15" t="inlineStr">
        <is>
          <t>Transferencia Enviada</t>
        </is>
      </c>
      <c r="B14" s="3" t="inlineStr">
        <is>
          <t>Egreso</t>
        </is>
      </c>
      <c r="C14" s="6">
        <f>SUMIF(Transacciones!D:D, A14, Transacciones!E:E)</f>
        <v/>
      </c>
      <c r="D14" s="16">
        <f>IF($F$5&gt;0, C14/$F$5, 0)</f>
        <v/>
      </c>
    </row>
    <row r="15">
      <c r="A15" s="15" t="inlineStr">
        <is>
          <t>Retiro de Efectivo</t>
        </is>
      </c>
      <c r="B15" s="3" t="inlineStr">
        <is>
          <t>Egreso</t>
        </is>
      </c>
      <c r="C15" s="6">
        <f>SUMIF(Transacciones!D:D, A15, Transacciones!E:E)</f>
        <v/>
      </c>
      <c r="D15" s="16">
        <f>IF($F$5&gt;0, C15/$F$5, 0)</f>
        <v/>
      </c>
    </row>
    <row r="16">
      <c r="A16" s="15" t="inlineStr">
        <is>
          <t>Compras Varias</t>
        </is>
      </c>
      <c r="B16" s="3" t="inlineStr">
        <is>
          <t>Egreso</t>
        </is>
      </c>
      <c r="C16" s="6">
        <f>SUMIF(Transacciones!D:D, A16, Transacciones!E:E)</f>
        <v/>
      </c>
      <c r="D16" s="16">
        <f>IF($F$5&gt;0, C16/$F$5, 0)</f>
        <v/>
      </c>
    </row>
    <row r="17">
      <c r="A17" s="15" t="inlineStr">
        <is>
          <t>Sueldo / Ingreso</t>
        </is>
      </c>
      <c r="B17" s="3" t="inlineStr">
        <is>
          <t>Ingreso</t>
        </is>
      </c>
      <c r="C17" s="6">
        <f>SUMIF(Transacciones!D:D, A17, Transacciones!E:E)</f>
        <v/>
      </c>
      <c r="D17" s="16">
        <f>IF($F$5&gt;0, C17/$F$5, 0)</f>
        <v/>
      </c>
    </row>
    <row r="18">
      <c r="A18" s="15" t="inlineStr">
        <is>
          <t>Transferencia Recibida</t>
        </is>
      </c>
      <c r="B18" s="3" t="inlineStr">
        <is>
          <t>Ingreso</t>
        </is>
      </c>
      <c r="C18" s="6">
        <f>SUMIF(Transacciones!D:D, A18, Transacciones!E:E)</f>
        <v/>
      </c>
      <c r="D18" s="16">
        <f>IF($F$5&gt;0, C18/$F$5, 0)</f>
        <v/>
      </c>
    </row>
    <row r="19">
      <c r="A19" s="15" t="inlineStr">
        <is>
          <t>Otros Ingresos</t>
        </is>
      </c>
      <c r="B19" s="3" t="inlineStr">
        <is>
          <t>Ingreso</t>
        </is>
      </c>
      <c r="C19" s="6">
        <f>SUMIF(Transacciones!D:D, A19, Transacciones!E:E)</f>
        <v/>
      </c>
      <c r="D19" s="16">
        <f>IF($F$5&gt;0, C19/$F$5,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7" t="inlineStr">
        <is>
          <t>Categoría</t>
        </is>
      </c>
      <c r="B1" s="17" t="inlineStr">
        <is>
          <t>Tipo</t>
        </is>
      </c>
    </row>
    <row r="2">
      <c r="A2" s="18" t="inlineStr">
        <is>
          <t>Supermercado / Comida</t>
        </is>
      </c>
      <c r="B2" s="18" t="inlineStr">
        <is>
          <t>Egreso</t>
        </is>
      </c>
    </row>
    <row r="3">
      <c r="A3" s="18" t="inlineStr">
        <is>
          <t>Servicios / Impuestos</t>
        </is>
      </c>
      <c r="B3" s="18" t="inlineStr">
        <is>
          <t>Egreso</t>
        </is>
      </c>
    </row>
    <row r="4">
      <c r="A4" s="18" t="inlineStr">
        <is>
          <t>Transporte / Nafta</t>
        </is>
      </c>
      <c r="B4" s="18" t="inlineStr">
        <is>
          <t>Egreso</t>
        </is>
      </c>
    </row>
    <row r="5">
      <c r="A5" s="18" t="inlineStr">
        <is>
          <t>Salidas / Entretenimiento</t>
        </is>
      </c>
      <c r="B5" s="18" t="inlineStr">
        <is>
          <t>Egreso</t>
        </is>
      </c>
    </row>
    <row r="6">
      <c r="A6" s="18" t="inlineStr">
        <is>
          <t>Transferencia Enviada</t>
        </is>
      </c>
      <c r="B6" s="18" t="inlineStr">
        <is>
          <t>Egreso</t>
        </is>
      </c>
    </row>
    <row r="7">
      <c r="A7" s="18" t="inlineStr">
        <is>
          <t>Retiro de Efectivo</t>
        </is>
      </c>
      <c r="B7" s="18" t="inlineStr">
        <is>
          <t>Egreso</t>
        </is>
      </c>
    </row>
    <row r="8">
      <c r="A8" s="18" t="inlineStr">
        <is>
          <t>Compras Varias</t>
        </is>
      </c>
      <c r="B8" s="18" t="inlineStr">
        <is>
          <t>Egreso</t>
        </is>
      </c>
    </row>
    <row r="9">
      <c r="A9" s="18" t="inlineStr">
        <is>
          <t>Sueldo / Ingreso</t>
        </is>
      </c>
      <c r="B9" s="18" t="inlineStr">
        <is>
          <t>Ingreso</t>
        </is>
      </c>
    </row>
    <row r="10">
      <c r="A10" s="18" t="inlineStr">
        <is>
          <t>Transferencia Recibida</t>
        </is>
      </c>
      <c r="B10" s="18" t="inlineStr">
        <is>
          <t>Ingreso</t>
        </is>
      </c>
    </row>
    <row r="11">
      <c r="A11" s="18" t="inlineStr">
        <is>
          <t>Otros Ingresos</t>
        </is>
      </c>
      <c r="B11" s="18" t="inlineStr">
        <is>
          <t>Ingreso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2026-08-08T23:42:49Z</dcterms:created>
  <dcterms:modified xsi:type="dcterms:W3CDTF">2026-08-09T04:07:05Z</dcterms:modified>
</cp:coreProperties>
</file>